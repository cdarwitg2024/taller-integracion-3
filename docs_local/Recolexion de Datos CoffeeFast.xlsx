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gamoslo directamente desde xl" sheetId="1" r:id="rId4"/>
  </sheets>
  <definedNames/>
  <calcPr/>
  <extLst>
    <ext uri="GoogleSheetsCustomDataVersion2">
      <go:sheetsCustomData xmlns:go="http://customooxmlschemas.google.com/" r:id="rId5" roundtripDataChecksum="k8OsEF1IkVa39wrfUpNbnMGD7VipuJDuSweWQ/wtAOE="/>
    </ext>
  </extLst>
</workbook>
</file>

<file path=xl/sharedStrings.xml><?xml version="1.0" encoding="utf-8"?>
<sst xmlns="http://schemas.openxmlformats.org/spreadsheetml/2006/main" count="77" uniqueCount="18">
  <si>
    <t>Cafeteria</t>
  </si>
  <si>
    <t>Hora_Llegada   Fila</t>
  </si>
  <si>
    <t>Hora_Inicio   Caja</t>
  </si>
  <si>
    <t>Hora_Fin   Pago</t>
  </si>
  <si>
    <t>Hora_Entrega   Pedido</t>
  </si>
  <si>
    <t>Tiempo_EsperaFila</t>
  </si>
  <si>
    <t>Tiempo_en Caja</t>
  </si>
  <si>
    <t>Tiempo_en   Cocina</t>
  </si>
  <si>
    <t>Tiempo_Total Sistema</t>
  </si>
  <si>
    <t>Cant_Items</t>
  </si>
  <si>
    <t>Categoria</t>
  </si>
  <si>
    <t>Complejo</t>
  </si>
  <si>
    <t>Cola_Pesada</t>
  </si>
  <si>
    <t>Observaciones</t>
  </si>
  <si>
    <t>Recarga Coffee</t>
  </si>
  <si>
    <t>CAFETERIA ED12</t>
  </si>
  <si>
    <t>MARTES 25</t>
  </si>
  <si>
    <t>EDIFICIO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</si>
</sst>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ill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20" xfId="0" applyAlignment="1" applyFont="1" applyNumberFormat="1">
      <alignment readingOrder="0" shrinkToFit="0" wrapText="1"/>
    </xf>
    <xf borderId="0" fillId="0" fontId="1" numFmtId="20" xfId="0" applyFont="1" applyNumberFormat="1"/>
    <xf borderId="0" fillId="4" fontId="2" numFmtId="164" xfId="0" applyAlignment="1" applyFill="1" applyFont="1" applyNumberFormat="1">
      <alignment readingOrder="0"/>
    </xf>
    <xf borderId="0" fillId="4" fontId="2" numFmtId="0" xfId="0" applyFill="1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21" xfId="0" applyAlignment="1" applyFont="1" applyNumberFormat="1">
      <alignment readingOrder="0"/>
    </xf>
    <xf borderId="0" fillId="0" fontId="1" numFmtId="21" xfId="0" applyFont="1" applyNumberFormat="1"/>
    <xf borderId="0" fillId="0" fontId="2" numFmtId="0" xfId="0" applyFont="1"/>
    <xf borderId="0" fillId="0" fontId="2" numFmtId="46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 ht="15.75" customHeight="1">
      <c r="A2" s="1">
        <v>1.0</v>
      </c>
      <c r="B2" s="5" t="s">
        <v>14</v>
      </c>
      <c r="C2" s="6">
        <v>0.4635416666666667</v>
      </c>
      <c r="D2" s="7">
        <v>0.46359953703703705</v>
      </c>
      <c r="E2" s="8">
        <v>0.46412037037037035</v>
      </c>
      <c r="F2" s="7">
        <v>0.46414351851851854</v>
      </c>
      <c r="G2" s="9">
        <f t="shared" ref="G2:I2" si="1">D2-C2</f>
        <v>0.00005787037037</v>
      </c>
      <c r="H2" s="9">
        <f t="shared" si="1"/>
        <v>0.0005208333333</v>
      </c>
      <c r="I2" s="9">
        <f t="shared" si="1"/>
        <v>0.00002314814815</v>
      </c>
      <c r="J2" s="9">
        <f t="shared" ref="J2:J61" si="3">F2-C2</f>
        <v>0.0006018518519</v>
      </c>
      <c r="K2" s="4">
        <v>2.0</v>
      </c>
      <c r="L2" s="4">
        <v>1.0</v>
      </c>
      <c r="M2" s="4">
        <v>2.0</v>
      </c>
      <c r="N2" s="4" t="str">
        <f>IF(I2&gt;(5/1440),"SÍ","NO")</f>
        <v>NO</v>
      </c>
      <c r="P2" s="10">
        <v>46258.0</v>
      </c>
      <c r="Q2" s="11"/>
    </row>
    <row r="3" ht="15.75" customHeight="1">
      <c r="A3" s="1">
        <v>2.0</v>
      </c>
      <c r="B3" s="12" t="s">
        <v>14</v>
      </c>
      <c r="C3" s="13">
        <v>0.46435185185185185</v>
      </c>
      <c r="D3" s="13">
        <v>0.46458333333333335</v>
      </c>
      <c r="E3" s="13">
        <v>0.46501157407407406</v>
      </c>
      <c r="F3" s="13">
        <v>0.4653125</v>
      </c>
      <c r="G3" s="9">
        <f t="shared" ref="G3:I3" si="2">D3-C3</f>
        <v>0.0002314814815</v>
      </c>
      <c r="H3" s="9">
        <f t="shared" si="2"/>
        <v>0.0004282407407</v>
      </c>
      <c r="I3" s="9">
        <f t="shared" si="2"/>
        <v>0.0003009259259</v>
      </c>
      <c r="J3" s="9">
        <f t="shared" si="3"/>
        <v>0.0009606481481</v>
      </c>
      <c r="K3" s="12">
        <v>1.0</v>
      </c>
      <c r="L3" s="12">
        <v>1.0</v>
      </c>
      <c r="M3" s="12">
        <v>2.0</v>
      </c>
      <c r="N3" s="4" t="str">
        <f t="shared" ref="N3:N50" si="5">IF(I3&gt;(5/1440),"SÍ","NO")</f>
        <v>NO</v>
      </c>
      <c r="P3" s="14" t="s">
        <v>15</v>
      </c>
      <c r="Q3" s="11"/>
    </row>
    <row r="4" ht="15.75" customHeight="1">
      <c r="A4" s="1">
        <v>3.0</v>
      </c>
      <c r="B4" s="12" t="s">
        <v>14</v>
      </c>
      <c r="C4" s="15">
        <v>0.46532407407407406</v>
      </c>
      <c r="D4" s="15">
        <v>0.46546296296296297</v>
      </c>
      <c r="E4" s="15">
        <v>0.465625</v>
      </c>
      <c r="F4" s="15">
        <v>0.46598379629629627</v>
      </c>
      <c r="G4" s="16">
        <f t="shared" ref="G4:I4" si="4">D4-C4</f>
        <v>0.0001388888889</v>
      </c>
      <c r="H4" s="16">
        <f t="shared" si="4"/>
        <v>0.000162037037</v>
      </c>
      <c r="I4" s="16">
        <f t="shared" si="4"/>
        <v>0.0003587962963</v>
      </c>
      <c r="J4" s="16">
        <f t="shared" si="3"/>
        <v>0.0006597222222</v>
      </c>
      <c r="K4" s="12">
        <v>2.0</v>
      </c>
      <c r="L4" s="12">
        <v>1.0</v>
      </c>
      <c r="N4" s="4" t="str">
        <f t="shared" si="5"/>
        <v>NO</v>
      </c>
      <c r="P4" s="11"/>
      <c r="Q4" s="11"/>
    </row>
    <row r="5" ht="15.75" customHeight="1">
      <c r="A5" s="1">
        <v>4.0</v>
      </c>
      <c r="B5" s="12" t="s">
        <v>14</v>
      </c>
      <c r="C5" s="15">
        <v>0.46631944444444445</v>
      </c>
      <c r="D5" s="15">
        <v>0.4665162037037037</v>
      </c>
      <c r="E5" s="15">
        <v>0.4672337962962963</v>
      </c>
      <c r="F5" s="15">
        <v>0.46770833333333334</v>
      </c>
      <c r="G5" s="16">
        <f t="shared" ref="G5:I5" si="6">D5-C5</f>
        <v>0.0001967592593</v>
      </c>
      <c r="H5" s="16">
        <f t="shared" si="6"/>
        <v>0.0007175925926</v>
      </c>
      <c r="I5" s="16">
        <f t="shared" si="6"/>
        <v>0.000474537037</v>
      </c>
      <c r="J5" s="16">
        <f t="shared" si="3"/>
        <v>0.001388888889</v>
      </c>
      <c r="K5" s="12">
        <v>2.0</v>
      </c>
      <c r="L5" s="12">
        <v>1.0</v>
      </c>
      <c r="N5" s="4" t="str">
        <f t="shared" si="5"/>
        <v>NO</v>
      </c>
      <c r="P5" s="11"/>
      <c r="Q5" s="11"/>
    </row>
    <row r="6" ht="15.75" customHeight="1">
      <c r="A6" s="1">
        <v>5.0</v>
      </c>
      <c r="B6" s="12" t="s">
        <v>14</v>
      </c>
      <c r="C6" s="15">
        <v>0.46770833333333334</v>
      </c>
      <c r="D6" s="15">
        <v>0.46791666666666665</v>
      </c>
      <c r="E6" s="15">
        <v>0.46872685185185187</v>
      </c>
      <c r="F6" s="15">
        <v>0.46922453703703704</v>
      </c>
      <c r="G6" s="16">
        <f t="shared" ref="G6:I6" si="7">D6-C6</f>
        <v>0.0002083333333</v>
      </c>
      <c r="H6" s="16">
        <f t="shared" si="7"/>
        <v>0.0008101851852</v>
      </c>
      <c r="I6" s="16">
        <f t="shared" si="7"/>
        <v>0.0004976851852</v>
      </c>
      <c r="J6" s="16">
        <f t="shared" si="3"/>
        <v>0.001516203704</v>
      </c>
      <c r="K6" s="12">
        <v>3.0</v>
      </c>
      <c r="L6" s="12">
        <v>1.0</v>
      </c>
      <c r="N6" s="4" t="str">
        <f t="shared" si="5"/>
        <v>NO</v>
      </c>
      <c r="P6" s="11"/>
      <c r="Q6" s="11"/>
    </row>
    <row r="7" ht="15.75" customHeight="1">
      <c r="A7" s="1">
        <v>6.0</v>
      </c>
      <c r="B7" s="12" t="s">
        <v>14</v>
      </c>
      <c r="C7" s="15">
        <v>0.46967592592592594</v>
      </c>
      <c r="D7" s="15">
        <v>0.4697222222222222</v>
      </c>
      <c r="E7" s="15">
        <v>0.4703703703703704</v>
      </c>
      <c r="F7" s="15">
        <v>0.4707060185185185</v>
      </c>
      <c r="G7" s="16">
        <f t="shared" ref="G7:I7" si="8">D7-C7</f>
        <v>0.0000462962963</v>
      </c>
      <c r="H7" s="16">
        <f t="shared" si="8"/>
        <v>0.0006481481481</v>
      </c>
      <c r="I7" s="16">
        <f t="shared" si="8"/>
        <v>0.0003356481481</v>
      </c>
      <c r="J7" s="16">
        <f t="shared" si="3"/>
        <v>0.001030092593</v>
      </c>
      <c r="K7" s="12">
        <v>1.0</v>
      </c>
      <c r="L7" s="12">
        <v>1.0</v>
      </c>
      <c r="N7" s="17" t="str">
        <f t="shared" si="5"/>
        <v>NO</v>
      </c>
      <c r="P7" s="11"/>
      <c r="Q7" s="11"/>
    </row>
    <row r="8" ht="15.75" customHeight="1">
      <c r="A8" s="1">
        <v>7.0</v>
      </c>
      <c r="B8" s="12" t="s">
        <v>14</v>
      </c>
      <c r="C8" s="13">
        <v>0.4707175925925926</v>
      </c>
      <c r="D8" s="15">
        <v>0.4716087962962963</v>
      </c>
      <c r="E8" s="15">
        <v>0.4721990740740741</v>
      </c>
      <c r="F8" s="15">
        <v>0.47278935185185184</v>
      </c>
      <c r="G8" s="16">
        <f t="shared" ref="G8:I8" si="9">D8-C8</f>
        <v>0.0008912037037</v>
      </c>
      <c r="H8" s="16">
        <f t="shared" si="9"/>
        <v>0.0005902777778</v>
      </c>
      <c r="I8" s="16">
        <f t="shared" si="9"/>
        <v>0.0005902777778</v>
      </c>
      <c r="J8" s="16">
        <f t="shared" si="3"/>
        <v>0.002071759259</v>
      </c>
      <c r="K8" s="12">
        <v>1.0</v>
      </c>
      <c r="L8" s="12">
        <v>1.0</v>
      </c>
      <c r="N8" s="17" t="str">
        <f t="shared" si="5"/>
        <v>NO</v>
      </c>
      <c r="P8" s="11"/>
      <c r="Q8" s="11"/>
    </row>
    <row r="9" ht="15.75" customHeight="1">
      <c r="A9" s="1">
        <v>8.0</v>
      </c>
      <c r="B9" s="12" t="s">
        <v>14</v>
      </c>
      <c r="C9" s="15">
        <v>0.47237268518518516</v>
      </c>
      <c r="D9" s="15">
        <v>0.4724537037037037</v>
      </c>
      <c r="E9" s="15">
        <v>0.4728703703703704</v>
      </c>
      <c r="F9" s="15">
        <v>0.47337962962962965</v>
      </c>
      <c r="G9" s="16">
        <f t="shared" ref="G9:I9" si="10">D9-C9</f>
        <v>0.00008101851852</v>
      </c>
      <c r="H9" s="16">
        <f t="shared" si="10"/>
        <v>0.0004166666667</v>
      </c>
      <c r="I9" s="16">
        <f t="shared" si="10"/>
        <v>0.0005092592593</v>
      </c>
      <c r="J9" s="16">
        <f t="shared" si="3"/>
        <v>0.001006944444</v>
      </c>
      <c r="K9" s="12">
        <v>2.0</v>
      </c>
      <c r="L9" s="12">
        <v>1.0</v>
      </c>
      <c r="N9" s="17" t="str">
        <f t="shared" si="5"/>
        <v>NO</v>
      </c>
      <c r="P9" s="11"/>
      <c r="Q9" s="11"/>
    </row>
    <row r="10" ht="15.75" customHeight="1">
      <c r="A10" s="1">
        <v>9.0</v>
      </c>
      <c r="B10" s="12" t="s">
        <v>14</v>
      </c>
      <c r="C10" s="15">
        <v>0.47237268518518516</v>
      </c>
      <c r="D10" s="15">
        <v>0.47344907407407405</v>
      </c>
      <c r="E10" s="15">
        <v>0.4736111111111111</v>
      </c>
      <c r="F10" s="15">
        <v>0.47377314814814814</v>
      </c>
      <c r="G10" s="16">
        <f t="shared" ref="G10:I10" si="11">D10-C10</f>
        <v>0.001076388889</v>
      </c>
      <c r="H10" s="16">
        <f t="shared" si="11"/>
        <v>0.000162037037</v>
      </c>
      <c r="I10" s="16">
        <f t="shared" si="11"/>
        <v>0.000162037037</v>
      </c>
      <c r="J10" s="16">
        <f t="shared" si="3"/>
        <v>0.001400462963</v>
      </c>
      <c r="K10" s="12">
        <v>1.0</v>
      </c>
      <c r="L10" s="12">
        <v>1.0</v>
      </c>
      <c r="N10" s="17" t="str">
        <f t="shared" si="5"/>
        <v>NO</v>
      </c>
      <c r="P10" s="11"/>
      <c r="Q10" s="11"/>
    </row>
    <row r="11" ht="15.75" customHeight="1">
      <c r="A11" s="1">
        <v>10.0</v>
      </c>
      <c r="B11" s="12" t="s">
        <v>14</v>
      </c>
      <c r="C11" s="15">
        <v>0.47476851851851853</v>
      </c>
      <c r="D11" s="15">
        <v>0.47511574074074076</v>
      </c>
      <c r="E11" s="15">
        <v>0.4754513888888889</v>
      </c>
      <c r="F11" s="15">
        <v>0.47605324074074074</v>
      </c>
      <c r="G11" s="16">
        <f t="shared" ref="G11:I11" si="12">D11-C11</f>
        <v>0.0003472222222</v>
      </c>
      <c r="H11" s="16">
        <f t="shared" si="12"/>
        <v>0.0003356481481</v>
      </c>
      <c r="I11" s="16">
        <f t="shared" si="12"/>
        <v>0.0006018518519</v>
      </c>
      <c r="J11" s="16">
        <f t="shared" si="3"/>
        <v>0.001284722222</v>
      </c>
      <c r="K11" s="12">
        <v>3.0</v>
      </c>
      <c r="L11" s="12">
        <v>1.0</v>
      </c>
      <c r="N11" s="17" t="str">
        <f t="shared" si="5"/>
        <v>NO</v>
      </c>
      <c r="P11" s="11"/>
      <c r="Q11" s="11"/>
    </row>
    <row r="12" ht="15.75" customHeight="1">
      <c r="A12" s="1">
        <v>11.0</v>
      </c>
      <c r="B12" s="12" t="s">
        <v>14</v>
      </c>
      <c r="C12" s="15">
        <v>0.4755671296296296</v>
      </c>
      <c r="D12" s="15">
        <v>0.47619212962962965</v>
      </c>
      <c r="E12" s="15">
        <v>0.47638888888888886</v>
      </c>
      <c r="F12" s="15">
        <v>0.4764583333333333</v>
      </c>
      <c r="G12" s="16">
        <f t="shared" ref="G12:I12" si="13">D12-C12</f>
        <v>0.000625</v>
      </c>
      <c r="H12" s="16">
        <f t="shared" si="13"/>
        <v>0.0001967592593</v>
      </c>
      <c r="I12" s="16">
        <f t="shared" si="13"/>
        <v>0.00006944444444</v>
      </c>
      <c r="J12" s="16">
        <f t="shared" si="3"/>
        <v>0.0008912037037</v>
      </c>
      <c r="K12" s="12">
        <v>1.0</v>
      </c>
      <c r="L12" s="12">
        <v>1.0</v>
      </c>
      <c r="N12" s="17" t="str">
        <f t="shared" si="5"/>
        <v>NO</v>
      </c>
      <c r="P12" s="11"/>
      <c r="Q12" s="11"/>
    </row>
    <row r="13" ht="15.75" customHeight="1">
      <c r="A13" s="1">
        <v>12.0</v>
      </c>
      <c r="B13" s="12" t="s">
        <v>14</v>
      </c>
      <c r="C13" s="15">
        <v>0.4773263888888889</v>
      </c>
      <c r="D13" s="15">
        <v>0.4775578703703704</v>
      </c>
      <c r="E13" s="13">
        <v>0.4777546296296296</v>
      </c>
      <c r="F13" s="15">
        <v>0.4779513888888889</v>
      </c>
      <c r="G13" s="16">
        <f t="shared" ref="G13:I13" si="14">D13-C13</f>
        <v>0.0002314814815</v>
      </c>
      <c r="H13" s="9">
        <f t="shared" si="14"/>
        <v>0.0001967592593</v>
      </c>
      <c r="I13" s="16">
        <f t="shared" si="14"/>
        <v>0.0001967592593</v>
      </c>
      <c r="J13" s="16">
        <f t="shared" si="3"/>
        <v>0.000625</v>
      </c>
      <c r="K13" s="12">
        <v>1.0</v>
      </c>
      <c r="L13" s="12">
        <v>1.0</v>
      </c>
      <c r="N13" s="17" t="str">
        <f t="shared" si="5"/>
        <v>NO</v>
      </c>
      <c r="P13" s="11"/>
      <c r="Q13" s="11"/>
    </row>
    <row r="14" ht="15.75" customHeight="1">
      <c r="A14" s="1">
        <v>13.0</v>
      </c>
      <c r="B14" s="12" t="s">
        <v>14</v>
      </c>
      <c r="C14" s="15">
        <v>0.477662037037037</v>
      </c>
      <c r="D14" s="15">
        <v>0.47800925925925924</v>
      </c>
      <c r="E14" s="15">
        <v>0.478125</v>
      </c>
      <c r="F14" s="15">
        <v>0.47824074074074074</v>
      </c>
      <c r="G14" s="16">
        <f t="shared" ref="G14:I14" si="15">D14-C14</f>
        <v>0.0003472222222</v>
      </c>
      <c r="H14" s="16">
        <f t="shared" si="15"/>
        <v>0.0001157407407</v>
      </c>
      <c r="I14" s="16">
        <f t="shared" si="15"/>
        <v>0.0001157407407</v>
      </c>
      <c r="J14" s="16">
        <f t="shared" si="3"/>
        <v>0.0005787037037</v>
      </c>
      <c r="K14" s="12">
        <v>2.0</v>
      </c>
      <c r="L14" s="12">
        <v>1.0</v>
      </c>
      <c r="N14" s="17" t="str">
        <f t="shared" si="5"/>
        <v>NO</v>
      </c>
      <c r="P14" s="11"/>
      <c r="Q14" s="11"/>
    </row>
    <row r="15" ht="15.75" customHeight="1">
      <c r="A15" s="1">
        <v>14.0</v>
      </c>
      <c r="B15" s="12" t="s">
        <v>14</v>
      </c>
      <c r="C15" s="18">
        <v>0.4797222222222222</v>
      </c>
      <c r="D15" s="15">
        <v>0.4798611111111111</v>
      </c>
      <c r="E15" s="15">
        <v>0.48005787037037034</v>
      </c>
      <c r="F15" s="15">
        <v>0.4801388888888889</v>
      </c>
      <c r="G15" s="16">
        <f t="shared" ref="G15:I15" si="16">D15-C15</f>
        <v>0.0001388888889</v>
      </c>
      <c r="H15" s="16">
        <f t="shared" si="16"/>
        <v>0.0001967592593</v>
      </c>
      <c r="I15" s="16">
        <f t="shared" si="16"/>
        <v>0.00008101851852</v>
      </c>
      <c r="J15" s="16">
        <f t="shared" si="3"/>
        <v>0.0004166666667</v>
      </c>
      <c r="K15" s="12">
        <v>1.0</v>
      </c>
      <c r="L15" s="12">
        <v>1.0</v>
      </c>
      <c r="N15" s="17" t="str">
        <f t="shared" si="5"/>
        <v>NO</v>
      </c>
      <c r="P15" s="11"/>
      <c r="Q15" s="11"/>
    </row>
    <row r="16" ht="15.75" customHeight="1">
      <c r="A16" s="1">
        <v>15.0</v>
      </c>
      <c r="B16" s="12" t="s">
        <v>14</v>
      </c>
      <c r="C16" s="15">
        <v>0.480150462962963</v>
      </c>
      <c r="D16" s="15">
        <v>0.4802199074074074</v>
      </c>
      <c r="E16" s="15">
        <v>0.4805787037037037</v>
      </c>
      <c r="F16" s="13">
        <v>0.4809027777777778</v>
      </c>
      <c r="G16" s="16">
        <f t="shared" ref="G16:I16" si="17">D16-C16</f>
        <v>0.00006944444444</v>
      </c>
      <c r="H16" s="16">
        <f t="shared" si="17"/>
        <v>0.0003587962963</v>
      </c>
      <c r="I16" s="9">
        <f t="shared" si="17"/>
        <v>0.0003240740741</v>
      </c>
      <c r="J16" s="9">
        <f t="shared" si="3"/>
        <v>0.0007523148148</v>
      </c>
      <c r="K16" s="12">
        <v>1.0</v>
      </c>
      <c r="L16" s="12">
        <v>1.0</v>
      </c>
      <c r="N16" s="17" t="str">
        <f t="shared" si="5"/>
        <v>NO</v>
      </c>
      <c r="P16" s="11"/>
      <c r="Q16" s="11"/>
    </row>
    <row r="17" ht="15.75" customHeight="1">
      <c r="A17" s="1">
        <v>16.0</v>
      </c>
      <c r="B17" s="12" t="s">
        <v>14</v>
      </c>
      <c r="C17" s="15">
        <v>0.48189814814814813</v>
      </c>
      <c r="D17" s="15">
        <v>0.48194444444444445</v>
      </c>
      <c r="E17" s="15">
        <v>0.4821990740740741</v>
      </c>
      <c r="F17" s="15">
        <v>0.48236111111111113</v>
      </c>
      <c r="G17" s="16">
        <f t="shared" ref="G17:I17" si="18">D17-C17</f>
        <v>0.0000462962963</v>
      </c>
      <c r="H17" s="16">
        <f t="shared" si="18"/>
        <v>0.0002546296296</v>
      </c>
      <c r="I17" s="16">
        <f t="shared" si="18"/>
        <v>0.000162037037</v>
      </c>
      <c r="J17" s="16">
        <f t="shared" si="3"/>
        <v>0.000462962963</v>
      </c>
      <c r="K17" s="12">
        <v>2.0</v>
      </c>
      <c r="L17" s="12">
        <v>1.0</v>
      </c>
      <c r="N17" s="17" t="str">
        <f t="shared" si="5"/>
        <v>NO</v>
      </c>
      <c r="P17" s="11"/>
      <c r="Q17" s="11"/>
    </row>
    <row r="18" ht="15.75" customHeight="1">
      <c r="A18" s="1">
        <v>17.0</v>
      </c>
      <c r="B18" s="12" t="s">
        <v>14</v>
      </c>
      <c r="C18" s="15">
        <v>0.48388888888888887</v>
      </c>
      <c r="D18" s="15">
        <v>0.4839467592592593</v>
      </c>
      <c r="E18" s="15">
        <v>0.4842708333333333</v>
      </c>
      <c r="F18" s="15">
        <v>0.4844907407407407</v>
      </c>
      <c r="G18" s="16">
        <f t="shared" ref="G18:I18" si="19">D18-C18</f>
        <v>0.00005787037037</v>
      </c>
      <c r="H18" s="16">
        <f t="shared" si="19"/>
        <v>0.0003240740741</v>
      </c>
      <c r="I18" s="16">
        <f t="shared" si="19"/>
        <v>0.0002199074074</v>
      </c>
      <c r="J18" s="16">
        <f t="shared" si="3"/>
        <v>0.0006018518519</v>
      </c>
      <c r="K18" s="12">
        <v>1.0</v>
      </c>
      <c r="L18" s="12">
        <v>1.0</v>
      </c>
      <c r="N18" s="17" t="str">
        <f t="shared" si="5"/>
        <v>NO</v>
      </c>
      <c r="P18" s="11"/>
      <c r="Q18" s="11"/>
    </row>
    <row r="19" ht="15.75" customHeight="1">
      <c r="A19" s="1">
        <v>18.0</v>
      </c>
      <c r="B19" s="12" t="s">
        <v>14</v>
      </c>
      <c r="C19" s="15">
        <v>0.4861226851851852</v>
      </c>
      <c r="D19" s="15">
        <v>0.48616898148148147</v>
      </c>
      <c r="E19" s="15">
        <v>0.4862962962962963</v>
      </c>
      <c r="F19" s="15">
        <v>0.4866435185185185</v>
      </c>
      <c r="G19" s="16">
        <f t="shared" ref="G19:I19" si="20">D19-C19</f>
        <v>0.0000462962963</v>
      </c>
      <c r="H19" s="16">
        <f t="shared" si="20"/>
        <v>0.0001273148148</v>
      </c>
      <c r="I19" s="16">
        <f t="shared" si="20"/>
        <v>0.0003472222222</v>
      </c>
      <c r="J19" s="16">
        <f t="shared" si="3"/>
        <v>0.0005208333333</v>
      </c>
      <c r="K19" s="12">
        <v>2.0</v>
      </c>
      <c r="L19" s="12">
        <v>1.0</v>
      </c>
      <c r="N19" s="17" t="str">
        <f t="shared" si="5"/>
        <v>NO</v>
      </c>
      <c r="P19" s="11"/>
      <c r="Q19" s="11"/>
    </row>
    <row r="20" ht="15.75" customHeight="1">
      <c r="A20" s="1">
        <v>19.0</v>
      </c>
      <c r="B20" s="12" t="s">
        <v>14</v>
      </c>
      <c r="C20" s="15">
        <v>0.48833333333333334</v>
      </c>
      <c r="D20" s="15">
        <v>0.48842592592592593</v>
      </c>
      <c r="E20" s="15">
        <v>0.4895717592592593</v>
      </c>
      <c r="F20" s="15">
        <v>0.48974537037037036</v>
      </c>
      <c r="G20" s="16">
        <f t="shared" ref="G20:I20" si="21">D20-C20</f>
        <v>0.00009259259259</v>
      </c>
      <c r="H20" s="16">
        <f t="shared" si="21"/>
        <v>0.001145833333</v>
      </c>
      <c r="I20" s="16">
        <f t="shared" si="21"/>
        <v>0.0001736111111</v>
      </c>
      <c r="J20" s="16">
        <f t="shared" si="3"/>
        <v>0.001412037037</v>
      </c>
      <c r="N20" s="17" t="str">
        <f t="shared" si="5"/>
        <v>NO</v>
      </c>
      <c r="P20" s="19" t="s">
        <v>16</v>
      </c>
      <c r="Q20" s="20"/>
    </row>
    <row r="21" ht="15.75" customHeight="1">
      <c r="A21" s="1">
        <v>20.0</v>
      </c>
      <c r="B21" s="12" t="s">
        <v>14</v>
      </c>
      <c r="C21" s="15">
        <v>0.4901273148148148</v>
      </c>
      <c r="D21" s="15">
        <v>0.49024305555555553</v>
      </c>
      <c r="E21" s="15">
        <v>0.49052083333333335</v>
      </c>
      <c r="F21" s="15">
        <v>0.49071759259259257</v>
      </c>
      <c r="G21" s="16">
        <f t="shared" ref="G21:I21" si="22">D21-C21</f>
        <v>0.0001157407407</v>
      </c>
      <c r="H21" s="16">
        <f t="shared" si="22"/>
        <v>0.0002777777778</v>
      </c>
      <c r="I21" s="16">
        <f t="shared" si="22"/>
        <v>0.0001967592593</v>
      </c>
      <c r="J21" s="16">
        <f t="shared" si="3"/>
        <v>0.0005902777778</v>
      </c>
      <c r="N21" s="17" t="str">
        <f t="shared" si="5"/>
        <v>NO</v>
      </c>
      <c r="P21" s="19" t="s">
        <v>17</v>
      </c>
      <c r="Q21" s="20"/>
    </row>
    <row r="22" ht="15.75" customHeight="1">
      <c r="A22" s="1">
        <v>21.0</v>
      </c>
      <c r="B22" s="12" t="s">
        <v>14</v>
      </c>
      <c r="C22" s="15">
        <v>0.49074074074074076</v>
      </c>
      <c r="D22" s="18">
        <v>0.4908101851851852</v>
      </c>
      <c r="E22" s="15">
        <v>0.4910185185185185</v>
      </c>
      <c r="F22" s="15">
        <v>0.4915625</v>
      </c>
      <c r="G22" s="21">
        <f t="shared" ref="G22:I22" si="23">D22-C22</f>
        <v>0.00006944444444</v>
      </c>
      <c r="H22" s="16">
        <f t="shared" si="23"/>
        <v>0.0002083333333</v>
      </c>
      <c r="I22" s="16">
        <f t="shared" si="23"/>
        <v>0.0005439814815</v>
      </c>
      <c r="J22" s="16">
        <f t="shared" si="3"/>
        <v>0.0008217592593</v>
      </c>
      <c r="N22" s="17" t="str">
        <f t="shared" si="5"/>
        <v>NO</v>
      </c>
      <c r="P22" s="20"/>
      <c r="Q22" s="20"/>
    </row>
    <row r="23" ht="15.75" customHeight="1">
      <c r="A23" s="1">
        <v>22.0</v>
      </c>
      <c r="B23" s="12" t="s">
        <v>14</v>
      </c>
      <c r="C23" s="15">
        <v>0.49387731481481484</v>
      </c>
      <c r="D23" s="15">
        <v>0.49408564814814815</v>
      </c>
      <c r="E23" s="15">
        <v>0.49429398148148146</v>
      </c>
      <c r="F23" s="15">
        <v>0.4944212962962963</v>
      </c>
      <c r="G23" s="16">
        <f t="shared" ref="G23:I23" si="24">D23-C23</f>
        <v>0.0002083333333</v>
      </c>
      <c r="H23" s="16">
        <f t="shared" si="24"/>
        <v>0.0002083333333</v>
      </c>
      <c r="I23" s="16">
        <f t="shared" si="24"/>
        <v>0.0001273148148</v>
      </c>
      <c r="J23" s="16">
        <f t="shared" si="3"/>
        <v>0.0005439814815</v>
      </c>
      <c r="N23" s="17" t="str">
        <f t="shared" si="5"/>
        <v>NO</v>
      </c>
      <c r="P23" s="20"/>
      <c r="Q23" s="20"/>
    </row>
    <row r="24" ht="15.75" customHeight="1">
      <c r="A24" s="1">
        <v>23.0</v>
      </c>
      <c r="B24" s="12" t="s">
        <v>14</v>
      </c>
      <c r="C24" s="15">
        <v>0.49453703703703705</v>
      </c>
      <c r="D24" s="15">
        <v>0.49472222222222223</v>
      </c>
      <c r="E24" s="15">
        <v>0.49493055555555554</v>
      </c>
      <c r="F24" s="15">
        <v>0.49530092592592595</v>
      </c>
      <c r="G24" s="16">
        <f t="shared" ref="G24:I24" si="25">D24-C24</f>
        <v>0.0001851851852</v>
      </c>
      <c r="H24" s="16">
        <f t="shared" si="25"/>
        <v>0.0002083333333</v>
      </c>
      <c r="I24" s="16">
        <f t="shared" si="25"/>
        <v>0.0003703703704</v>
      </c>
      <c r="J24" s="16">
        <f t="shared" si="3"/>
        <v>0.0007638888889</v>
      </c>
      <c r="N24" s="17" t="str">
        <f t="shared" si="5"/>
        <v>NO</v>
      </c>
      <c r="P24" s="20"/>
      <c r="Q24" s="20"/>
    </row>
    <row r="25" ht="15.75" customHeight="1">
      <c r="A25" s="1">
        <v>24.0</v>
      </c>
      <c r="B25" s="12" t="s">
        <v>14</v>
      </c>
      <c r="C25" s="15">
        <v>0.4955324074074074</v>
      </c>
      <c r="D25" s="15">
        <v>0.49560185185185185</v>
      </c>
      <c r="E25" s="15">
        <v>0.49560185185185185</v>
      </c>
      <c r="F25" s="15">
        <v>0.4958449074074074</v>
      </c>
      <c r="G25" s="16">
        <f t="shared" ref="G25:I25" si="26">D25-C25</f>
        <v>0.00006944444444</v>
      </c>
      <c r="H25" s="16">
        <f t="shared" si="26"/>
        <v>0</v>
      </c>
      <c r="I25" s="16">
        <f t="shared" si="26"/>
        <v>0.0002430555556</v>
      </c>
      <c r="J25" s="16">
        <f t="shared" si="3"/>
        <v>0.0003125</v>
      </c>
      <c r="N25" s="17" t="str">
        <f t="shared" si="5"/>
        <v>NO</v>
      </c>
      <c r="P25" s="20"/>
      <c r="Q25" s="20"/>
    </row>
    <row r="26" ht="15.75" customHeight="1">
      <c r="A26" s="1">
        <v>25.0</v>
      </c>
      <c r="B26" s="12" t="s">
        <v>14</v>
      </c>
      <c r="C26" s="15">
        <v>0.4959027777777778</v>
      </c>
      <c r="D26" s="15">
        <v>0.4960648148148148</v>
      </c>
      <c r="E26" s="15">
        <v>0.49623842592592593</v>
      </c>
      <c r="F26" s="15">
        <v>0.49637731481481484</v>
      </c>
      <c r="G26" s="16">
        <f t="shared" ref="G26:I26" si="27">D26-C26</f>
        <v>0.000162037037</v>
      </c>
      <c r="H26" s="16">
        <f t="shared" si="27"/>
        <v>0.0001736111111</v>
      </c>
      <c r="I26" s="16">
        <f t="shared" si="27"/>
        <v>0.0001388888889</v>
      </c>
      <c r="J26" s="16">
        <f t="shared" si="3"/>
        <v>0.000474537037</v>
      </c>
      <c r="N26" s="17" t="str">
        <f t="shared" si="5"/>
        <v>NO</v>
      </c>
      <c r="P26" s="20"/>
      <c r="Q26" s="20"/>
    </row>
    <row r="27" ht="15.75" customHeight="1">
      <c r="A27" s="1">
        <v>26.0</v>
      </c>
      <c r="B27" s="12" t="s">
        <v>14</v>
      </c>
      <c r="C27" s="15">
        <v>0.4997800925925926</v>
      </c>
      <c r="D27" s="15">
        <v>0.5001041666666667</v>
      </c>
      <c r="E27" s="15">
        <v>0.5007638888888889</v>
      </c>
      <c r="F27" s="15">
        <v>0.5008680555555556</v>
      </c>
      <c r="G27" s="16">
        <f t="shared" ref="G27:I27" si="28">D27-C27</f>
        <v>0.0003240740741</v>
      </c>
      <c r="H27" s="16">
        <f t="shared" si="28"/>
        <v>0.0006597222222</v>
      </c>
      <c r="I27" s="16">
        <f t="shared" si="28"/>
        <v>0.0001041666667</v>
      </c>
      <c r="J27" s="16">
        <f t="shared" si="3"/>
        <v>0.001087962963</v>
      </c>
      <c r="N27" s="17" t="str">
        <f t="shared" si="5"/>
        <v>NO</v>
      </c>
      <c r="P27" s="20"/>
      <c r="Q27" s="20"/>
    </row>
    <row r="28" ht="15.75" customHeight="1">
      <c r="A28" s="1">
        <v>27.0</v>
      </c>
      <c r="B28" s="12" t="s">
        <v>14</v>
      </c>
      <c r="C28" s="15">
        <v>0.5017476851851852</v>
      </c>
      <c r="D28" s="15">
        <v>0.5018981481481481</v>
      </c>
      <c r="E28" s="13">
        <v>0.5021875</v>
      </c>
      <c r="F28" s="15">
        <v>0.5023611111111111</v>
      </c>
      <c r="G28" s="16">
        <f t="shared" ref="G28:I28" si="29">D28-C28</f>
        <v>0.000150462963</v>
      </c>
      <c r="H28" s="9">
        <f t="shared" si="29"/>
        <v>0.0002893518519</v>
      </c>
      <c r="I28" s="16">
        <f t="shared" si="29"/>
        <v>0.0001736111111</v>
      </c>
      <c r="J28" s="16">
        <f t="shared" si="3"/>
        <v>0.0006134259259</v>
      </c>
      <c r="N28" s="17" t="str">
        <f t="shared" si="5"/>
        <v>NO</v>
      </c>
      <c r="P28" s="20"/>
      <c r="Q28" s="20"/>
    </row>
    <row r="29" ht="15.75" customHeight="1">
      <c r="A29" s="1">
        <v>28.0</v>
      </c>
      <c r="B29" s="12" t="s">
        <v>14</v>
      </c>
      <c r="C29" s="15">
        <v>0.5018518518518519</v>
      </c>
      <c r="D29" s="15">
        <v>0.5024074074074074</v>
      </c>
      <c r="E29" s="15">
        <v>0.5026041666666666</v>
      </c>
      <c r="F29" s="15">
        <v>0.5026736111111111</v>
      </c>
      <c r="G29" s="16">
        <f t="shared" ref="G29:I29" si="30">D29-C29</f>
        <v>0.0005555555556</v>
      </c>
      <c r="H29" s="16">
        <f t="shared" si="30"/>
        <v>0.0001967592593</v>
      </c>
      <c r="I29" s="16">
        <f t="shared" si="30"/>
        <v>0.00006944444444</v>
      </c>
      <c r="J29" s="16">
        <f t="shared" si="3"/>
        <v>0.0008217592593</v>
      </c>
      <c r="N29" s="17" t="str">
        <f t="shared" si="5"/>
        <v>NO</v>
      </c>
      <c r="P29" s="20"/>
      <c r="Q29" s="20"/>
    </row>
    <row r="30" ht="15.75" customHeight="1">
      <c r="A30" s="1">
        <v>29.0</v>
      </c>
      <c r="B30" s="12" t="s">
        <v>14</v>
      </c>
      <c r="C30" s="15">
        <v>0.501875</v>
      </c>
      <c r="D30" s="15">
        <v>0.5027083333333333</v>
      </c>
      <c r="E30" s="15">
        <v>0.5028703703703704</v>
      </c>
      <c r="F30" s="15">
        <v>0.502974537037037</v>
      </c>
      <c r="G30" s="16">
        <f t="shared" ref="G30:I30" si="31">D30-C30</f>
        <v>0.0008333333333</v>
      </c>
      <c r="H30" s="16">
        <f t="shared" si="31"/>
        <v>0.000162037037</v>
      </c>
      <c r="I30" s="16">
        <f t="shared" si="31"/>
        <v>0.0001041666667</v>
      </c>
      <c r="J30" s="16">
        <f t="shared" si="3"/>
        <v>0.001099537037</v>
      </c>
      <c r="N30" s="17" t="str">
        <f t="shared" si="5"/>
        <v>NO</v>
      </c>
      <c r="P30" s="20"/>
      <c r="Q30" s="20"/>
    </row>
    <row r="31" ht="15.75" customHeight="1">
      <c r="A31" s="1">
        <v>30.0</v>
      </c>
      <c r="B31" s="12" t="s">
        <v>14</v>
      </c>
      <c r="C31" s="15">
        <v>0.5030092592592592</v>
      </c>
      <c r="D31" s="15">
        <v>0.5032986111111111</v>
      </c>
      <c r="E31" s="15">
        <v>0.5041435185185185</v>
      </c>
      <c r="F31" s="15">
        <v>0.5041898148148148</v>
      </c>
      <c r="G31" s="16">
        <f t="shared" ref="G31:I31" si="32">D31-C31</f>
        <v>0.0002893518519</v>
      </c>
      <c r="H31" s="16">
        <f t="shared" si="32"/>
        <v>0.0008449074074</v>
      </c>
      <c r="I31" s="16">
        <f t="shared" si="32"/>
        <v>0.0000462962963</v>
      </c>
      <c r="J31" s="16">
        <f t="shared" si="3"/>
        <v>0.001180555556</v>
      </c>
      <c r="N31" s="17" t="str">
        <f t="shared" si="5"/>
        <v>NO</v>
      </c>
      <c r="P31" s="20"/>
      <c r="Q31" s="20"/>
    </row>
    <row r="32" ht="15.75" customHeight="1">
      <c r="A32" s="1">
        <v>31.0</v>
      </c>
      <c r="B32" s="12" t="s">
        <v>14</v>
      </c>
      <c r="C32" s="15">
        <v>0.5034259259259259</v>
      </c>
      <c r="D32" s="15">
        <v>0.5036342592592593</v>
      </c>
      <c r="E32" s="15">
        <v>0.5037731481481481</v>
      </c>
      <c r="F32" s="15">
        <v>0.5040277777777777</v>
      </c>
      <c r="G32" s="16">
        <f t="shared" ref="G32:I32" si="33">D32-C32</f>
        <v>0.0002083333333</v>
      </c>
      <c r="H32" s="16">
        <f t="shared" si="33"/>
        <v>0.0001388888889</v>
      </c>
      <c r="I32" s="16">
        <f t="shared" si="33"/>
        <v>0.0002546296296</v>
      </c>
      <c r="J32" s="16">
        <f t="shared" si="3"/>
        <v>0.0006018518519</v>
      </c>
      <c r="N32" s="17" t="str">
        <f t="shared" si="5"/>
        <v>NO</v>
      </c>
      <c r="P32" s="20"/>
      <c r="Q32" s="20"/>
    </row>
    <row r="33" ht="15.75" customHeight="1">
      <c r="A33" s="1">
        <v>32.0</v>
      </c>
      <c r="B33" s="12" t="s">
        <v>14</v>
      </c>
      <c r="C33" s="15">
        <v>0.5050810185185185</v>
      </c>
      <c r="D33" s="15">
        <v>0.505150462962963</v>
      </c>
      <c r="E33" s="15">
        <v>0.5053240740740741</v>
      </c>
      <c r="F33" s="15">
        <v>0.5057175925925926</v>
      </c>
      <c r="G33" s="16">
        <f t="shared" ref="G33:I33" si="34">D33-C33</f>
        <v>0.00006944444444</v>
      </c>
      <c r="H33" s="16">
        <f t="shared" si="34"/>
        <v>0.0001736111111</v>
      </c>
      <c r="I33" s="16">
        <f t="shared" si="34"/>
        <v>0.0003935185185</v>
      </c>
      <c r="J33" s="16">
        <f t="shared" si="3"/>
        <v>0.0006365740741</v>
      </c>
      <c r="N33" s="17" t="str">
        <f t="shared" si="5"/>
        <v>NO</v>
      </c>
      <c r="P33" s="20"/>
      <c r="Q33" s="20"/>
    </row>
    <row r="34" ht="15.75" customHeight="1">
      <c r="A34" s="1">
        <v>33.0</v>
      </c>
      <c r="B34" s="12" t="s">
        <v>14</v>
      </c>
      <c r="C34" s="15">
        <v>0.5054398148148148</v>
      </c>
      <c r="D34" s="15">
        <v>0.5057754629629629</v>
      </c>
      <c r="E34" s="15">
        <v>0.5059490740740741</v>
      </c>
      <c r="F34" s="15">
        <v>0.5062384259259259</v>
      </c>
      <c r="G34" s="16">
        <f t="shared" ref="G34:I34" si="35">D34-C34</f>
        <v>0.0003356481481</v>
      </c>
      <c r="H34" s="16">
        <f t="shared" si="35"/>
        <v>0.0001736111111</v>
      </c>
      <c r="I34" s="16">
        <f t="shared" si="35"/>
        <v>0.0002893518519</v>
      </c>
      <c r="J34" s="16">
        <f t="shared" si="3"/>
        <v>0.0007986111111</v>
      </c>
      <c r="N34" s="17" t="str">
        <f t="shared" si="5"/>
        <v>NO</v>
      </c>
      <c r="P34" s="20"/>
      <c r="Q34" s="20"/>
    </row>
    <row r="35" ht="15.75" customHeight="1">
      <c r="A35" s="1">
        <v>34.0</v>
      </c>
      <c r="B35" s="12" t="s">
        <v>14</v>
      </c>
      <c r="C35" s="15">
        <v>0.5075694444444444</v>
      </c>
      <c r="D35" s="15">
        <v>0.507650462962963</v>
      </c>
      <c r="E35" s="15">
        <v>0.507800925925926</v>
      </c>
      <c r="F35" s="15">
        <v>0.5079166666666667</v>
      </c>
      <c r="G35" s="16">
        <f t="shared" ref="G35:I35" si="36">D35-C35</f>
        <v>0.00008101851852</v>
      </c>
      <c r="H35" s="16">
        <f t="shared" si="36"/>
        <v>0.000150462963</v>
      </c>
      <c r="I35" s="16">
        <f t="shared" si="36"/>
        <v>0.0001157407407</v>
      </c>
      <c r="J35" s="16">
        <f t="shared" si="3"/>
        <v>0.0003472222222</v>
      </c>
      <c r="N35" s="17" t="str">
        <f t="shared" si="5"/>
        <v>NO</v>
      </c>
      <c r="P35" s="20"/>
      <c r="Q35" s="20"/>
    </row>
    <row r="36" ht="15.75" customHeight="1">
      <c r="A36" s="1">
        <v>35.0</v>
      </c>
      <c r="B36" s="12" t="s">
        <v>14</v>
      </c>
      <c r="C36" s="15">
        <v>0.507974537037037</v>
      </c>
      <c r="D36" s="15">
        <v>0.5080787037037037</v>
      </c>
      <c r="E36" s="15">
        <v>0.5082986111111111</v>
      </c>
      <c r="F36" s="15">
        <v>0.5084837962962963</v>
      </c>
      <c r="G36" s="16">
        <f t="shared" ref="G36:I36" si="37">D36-C36</f>
        <v>0.0001041666667</v>
      </c>
      <c r="H36" s="16">
        <f t="shared" si="37"/>
        <v>0.0002199074074</v>
      </c>
      <c r="I36" s="16">
        <f t="shared" si="37"/>
        <v>0.0001851851852</v>
      </c>
      <c r="J36" s="16">
        <f t="shared" si="3"/>
        <v>0.0005092592593</v>
      </c>
      <c r="N36" s="17" t="str">
        <f t="shared" si="5"/>
        <v>NO</v>
      </c>
      <c r="P36" s="20"/>
      <c r="Q36" s="20"/>
    </row>
    <row r="37" ht="15.75" customHeight="1">
      <c r="A37" s="1">
        <v>36.0</v>
      </c>
      <c r="B37" s="12" t="s">
        <v>14</v>
      </c>
      <c r="C37" s="15">
        <v>0.5091203703703704</v>
      </c>
      <c r="D37" s="15">
        <v>0.5093055555555556</v>
      </c>
      <c r="E37" s="15">
        <v>0.5093865740740741</v>
      </c>
      <c r="F37" s="15">
        <v>0.5094675925925926</v>
      </c>
      <c r="G37" s="16">
        <f t="shared" ref="G37:I37" si="38">D37-C37</f>
        <v>0.0001851851852</v>
      </c>
      <c r="H37" s="16">
        <f t="shared" si="38"/>
        <v>0.00008101851852</v>
      </c>
      <c r="I37" s="16">
        <f t="shared" si="38"/>
        <v>0.00008101851852</v>
      </c>
      <c r="J37" s="16">
        <f t="shared" si="3"/>
        <v>0.0003472222222</v>
      </c>
      <c r="N37" s="17" t="str">
        <f t="shared" si="5"/>
        <v>NO</v>
      </c>
      <c r="P37" s="20"/>
      <c r="Q37" s="20"/>
    </row>
    <row r="38" ht="15.75" customHeight="1">
      <c r="A38" s="1">
        <v>37.0</v>
      </c>
      <c r="B38" s="12" t="s">
        <v>14</v>
      </c>
      <c r="C38" s="15">
        <v>0.5095486111111112</v>
      </c>
      <c r="D38" s="15">
        <v>0.5095833333333334</v>
      </c>
      <c r="E38" s="15">
        <v>0.5097453703703704</v>
      </c>
      <c r="F38" s="15">
        <v>0.51</v>
      </c>
      <c r="G38" s="16">
        <f t="shared" ref="G38:I38" si="39">D38-C38</f>
        <v>0.00003472222222</v>
      </c>
      <c r="H38" s="16">
        <f t="shared" si="39"/>
        <v>0.000162037037</v>
      </c>
      <c r="I38" s="16">
        <f t="shared" si="39"/>
        <v>0.0002546296296</v>
      </c>
      <c r="J38" s="16">
        <f t="shared" si="3"/>
        <v>0.0004513888889</v>
      </c>
      <c r="N38" s="17" t="str">
        <f t="shared" si="5"/>
        <v>NO</v>
      </c>
      <c r="P38" s="20"/>
      <c r="Q38" s="20"/>
    </row>
    <row r="39" ht="15.75" customHeight="1">
      <c r="A39" s="1">
        <v>38.0</v>
      </c>
      <c r="B39" s="12" t="s">
        <v>14</v>
      </c>
      <c r="C39" s="15">
        <v>0.5102777777777778</v>
      </c>
      <c r="D39" s="15">
        <v>0.5103240740740741</v>
      </c>
      <c r="E39" s="15">
        <v>0.5104050925925926</v>
      </c>
      <c r="F39" s="15">
        <v>0.5106597222222222</v>
      </c>
      <c r="G39" s="16">
        <f t="shared" ref="G39:I39" si="40">D39-C39</f>
        <v>0.0000462962963</v>
      </c>
      <c r="H39" s="16">
        <f t="shared" si="40"/>
        <v>0.00008101851852</v>
      </c>
      <c r="I39" s="16">
        <f t="shared" si="40"/>
        <v>0.0002546296296</v>
      </c>
      <c r="J39" s="16">
        <f t="shared" si="3"/>
        <v>0.0003819444444</v>
      </c>
      <c r="N39" s="17" t="str">
        <f t="shared" si="5"/>
        <v>NO</v>
      </c>
      <c r="P39" s="20"/>
      <c r="Q39" s="20"/>
    </row>
    <row r="40" ht="15.75" customHeight="1">
      <c r="A40" s="1">
        <v>39.0</v>
      </c>
      <c r="B40" s="12" t="s">
        <v>14</v>
      </c>
      <c r="C40" s="15">
        <v>0.5121643518518518</v>
      </c>
      <c r="D40" s="15">
        <v>0.5122106481481481</v>
      </c>
      <c r="E40" s="15">
        <v>0.5124884259259259</v>
      </c>
      <c r="F40" s="15">
        <v>0.5130208333333334</v>
      </c>
      <c r="G40" s="16">
        <f t="shared" ref="G40:I40" si="41">D40-C40</f>
        <v>0.0000462962963</v>
      </c>
      <c r="H40" s="16">
        <f t="shared" si="41"/>
        <v>0.0002777777778</v>
      </c>
      <c r="I40" s="16">
        <f t="shared" si="41"/>
        <v>0.0005324074074</v>
      </c>
      <c r="J40" s="16">
        <f t="shared" si="3"/>
        <v>0.0008564814815</v>
      </c>
      <c r="N40" s="17" t="str">
        <f t="shared" si="5"/>
        <v>NO</v>
      </c>
      <c r="P40" s="20"/>
      <c r="Q40" s="20"/>
    </row>
    <row r="41" ht="15.75" customHeight="1">
      <c r="A41" s="1">
        <v>40.0</v>
      </c>
      <c r="B41" s="12" t="s">
        <v>14</v>
      </c>
      <c r="C41" s="15">
        <v>0.5128472222222222</v>
      </c>
      <c r="D41" s="15">
        <v>0.5130555555555556</v>
      </c>
      <c r="E41" s="15">
        <v>0.5132060185185185</v>
      </c>
      <c r="F41" s="15">
        <v>0.5133912037037037</v>
      </c>
      <c r="G41" s="16">
        <f t="shared" ref="G41:I41" si="42">D41-C41</f>
        <v>0.0002083333333</v>
      </c>
      <c r="H41" s="16">
        <f t="shared" si="42"/>
        <v>0.000150462963</v>
      </c>
      <c r="I41" s="16">
        <f t="shared" si="42"/>
        <v>0.0001851851852</v>
      </c>
      <c r="J41" s="16">
        <f t="shared" si="3"/>
        <v>0.0005439814815</v>
      </c>
      <c r="N41" s="17" t="str">
        <f t="shared" si="5"/>
        <v>NO</v>
      </c>
      <c r="P41" s="20"/>
      <c r="Q41" s="20"/>
    </row>
    <row r="42" ht="15.75" customHeight="1">
      <c r="A42" s="1">
        <v>41.0</v>
      </c>
      <c r="B42" s="12" t="s">
        <v>14</v>
      </c>
      <c r="C42" s="15">
        <v>0.5148611111111111</v>
      </c>
      <c r="D42" s="15">
        <v>0.5149652777777778</v>
      </c>
      <c r="E42" s="15">
        <v>0.5151041666666667</v>
      </c>
      <c r="F42" s="15">
        <v>0.515150462962963</v>
      </c>
      <c r="G42" s="16">
        <f t="shared" ref="G42:I42" si="43">D42-C42</f>
        <v>0.0001041666667</v>
      </c>
      <c r="H42" s="16">
        <f t="shared" si="43"/>
        <v>0.0001388888889</v>
      </c>
      <c r="I42" s="16">
        <f t="shared" si="43"/>
        <v>0.0000462962963</v>
      </c>
      <c r="J42" s="16">
        <f t="shared" si="3"/>
        <v>0.0002893518519</v>
      </c>
      <c r="N42" s="17" t="str">
        <f t="shared" si="5"/>
        <v>NO</v>
      </c>
      <c r="P42" s="20"/>
      <c r="Q42" s="20"/>
    </row>
    <row r="43" ht="15.75" customHeight="1">
      <c r="A43" s="1">
        <v>42.0</v>
      </c>
      <c r="B43" s="12" t="s">
        <v>14</v>
      </c>
      <c r="C43" s="15">
        <v>0.5150462962962963</v>
      </c>
      <c r="D43" s="15">
        <v>0.5151851851851852</v>
      </c>
      <c r="E43" s="15">
        <v>0.5153819444444444</v>
      </c>
      <c r="F43" s="15">
        <v>0.5154976851851852</v>
      </c>
      <c r="G43" s="16">
        <f t="shared" ref="G43:I43" si="44">D43-C43</f>
        <v>0.0001388888889</v>
      </c>
      <c r="H43" s="16">
        <f t="shared" si="44"/>
        <v>0.0001967592593</v>
      </c>
      <c r="I43" s="16">
        <f t="shared" si="44"/>
        <v>0.0001157407407</v>
      </c>
      <c r="J43" s="16">
        <f t="shared" si="3"/>
        <v>0.0004513888889</v>
      </c>
      <c r="N43" s="17" t="str">
        <f t="shared" si="5"/>
        <v>NO</v>
      </c>
      <c r="P43" s="20"/>
      <c r="Q43" s="20"/>
    </row>
    <row r="44" ht="15.75" customHeight="1">
      <c r="A44" s="1">
        <v>43.0</v>
      </c>
      <c r="B44" s="12" t="s">
        <v>14</v>
      </c>
      <c r="C44" s="15">
        <v>0.5158564814814814</v>
      </c>
      <c r="D44" s="15">
        <v>0.5158796296296296</v>
      </c>
      <c r="E44" s="15">
        <v>0.5159953703703704</v>
      </c>
      <c r="F44" s="15">
        <v>0.516087962962963</v>
      </c>
      <c r="G44" s="16">
        <f t="shared" ref="G44:I44" si="45">D44-C44</f>
        <v>0.00002314814815</v>
      </c>
      <c r="H44" s="16">
        <f t="shared" si="45"/>
        <v>0.0001157407407</v>
      </c>
      <c r="I44" s="16">
        <f t="shared" si="45"/>
        <v>0.00009259259259</v>
      </c>
      <c r="J44" s="16">
        <f t="shared" si="3"/>
        <v>0.0002314814815</v>
      </c>
      <c r="N44" s="17" t="str">
        <f t="shared" si="5"/>
        <v>NO</v>
      </c>
      <c r="P44" s="20"/>
      <c r="Q44" s="20"/>
    </row>
    <row r="45" ht="15.75" customHeight="1">
      <c r="A45" s="1">
        <v>44.0</v>
      </c>
      <c r="B45" s="12" t="s">
        <v>14</v>
      </c>
      <c r="C45" s="15">
        <v>0.5158912037037037</v>
      </c>
      <c r="D45" s="15">
        <v>0.5161226851851852</v>
      </c>
      <c r="E45" s="15">
        <v>0.516261574074074</v>
      </c>
      <c r="F45" s="15">
        <v>0.516724537037037</v>
      </c>
      <c r="G45" s="16">
        <f t="shared" ref="G45:I45" si="46">D45-C45</f>
        <v>0.0002314814815</v>
      </c>
      <c r="H45" s="16">
        <f t="shared" si="46"/>
        <v>0.0001388888889</v>
      </c>
      <c r="I45" s="16">
        <f t="shared" si="46"/>
        <v>0.000462962963</v>
      </c>
      <c r="J45" s="16">
        <f t="shared" si="3"/>
        <v>0.0008333333333</v>
      </c>
      <c r="N45" s="17" t="str">
        <f t="shared" si="5"/>
        <v>NO</v>
      </c>
      <c r="P45" s="20"/>
      <c r="Q45" s="20"/>
    </row>
    <row r="46" ht="15.75" customHeight="1">
      <c r="A46" s="1">
        <v>45.0</v>
      </c>
      <c r="B46" s="12" t="s">
        <v>14</v>
      </c>
      <c r="C46" s="15">
        <v>0.5168171296296297</v>
      </c>
      <c r="D46" s="15">
        <v>0.5168402777777777</v>
      </c>
      <c r="E46" s="15">
        <v>0.5169097222222222</v>
      </c>
      <c r="F46" s="15">
        <v>0.5171527777777778</v>
      </c>
      <c r="G46" s="16">
        <f t="shared" ref="G46:I46" si="47">D46-C46</f>
        <v>0.00002314814815</v>
      </c>
      <c r="H46" s="16">
        <f t="shared" si="47"/>
        <v>0.00006944444444</v>
      </c>
      <c r="I46" s="16">
        <f t="shared" si="47"/>
        <v>0.0002430555556</v>
      </c>
      <c r="J46" s="16">
        <f t="shared" si="3"/>
        <v>0.0003356481481</v>
      </c>
      <c r="N46" s="17" t="str">
        <f t="shared" si="5"/>
        <v>NO</v>
      </c>
      <c r="P46" s="20"/>
      <c r="Q46" s="20"/>
    </row>
    <row r="47" ht="15.75" customHeight="1">
      <c r="A47" s="1">
        <v>46.0</v>
      </c>
      <c r="B47" s="12" t="s">
        <v>14</v>
      </c>
      <c r="C47" s="15">
        <v>0.5172453703703703</v>
      </c>
      <c r="D47" s="15">
        <v>0.5173842592592592</v>
      </c>
      <c r="E47" s="15">
        <v>0.5175694444444444</v>
      </c>
      <c r="F47" s="15">
        <v>0.517824074074074</v>
      </c>
      <c r="G47" s="16">
        <f t="shared" ref="G47:I47" si="48">D47-C47</f>
        <v>0.0001388888889</v>
      </c>
      <c r="H47" s="16">
        <f t="shared" si="48"/>
        <v>0.0001851851852</v>
      </c>
      <c r="I47" s="16">
        <f t="shared" si="48"/>
        <v>0.0002546296296</v>
      </c>
      <c r="J47" s="16">
        <f t="shared" si="3"/>
        <v>0.0005787037037</v>
      </c>
      <c r="N47" s="17" t="str">
        <f t="shared" si="5"/>
        <v>NO</v>
      </c>
      <c r="P47" s="20"/>
      <c r="Q47" s="20"/>
    </row>
    <row r="48" ht="15.75" customHeight="1">
      <c r="A48" s="1">
        <v>47.0</v>
      </c>
      <c r="B48" s="12" t="s">
        <v>14</v>
      </c>
      <c r="C48" s="15">
        <v>0.5177893518518518</v>
      </c>
      <c r="D48" s="15">
        <v>0.5178819444444445</v>
      </c>
      <c r="E48" s="15">
        <v>0.5416666666666666</v>
      </c>
      <c r="F48" s="15">
        <v>0.5184837962962963</v>
      </c>
      <c r="G48" s="16">
        <f t="shared" ref="G48:I48" si="49">D48-C48</f>
        <v>0.00009259259259</v>
      </c>
      <c r="H48" s="16">
        <f t="shared" si="49"/>
        <v>0.02378472222</v>
      </c>
      <c r="I48" s="16">
        <f t="shared" si="49"/>
        <v>-0.02318287037</v>
      </c>
      <c r="J48" s="16">
        <f t="shared" si="3"/>
        <v>0.0006944444444</v>
      </c>
      <c r="N48" s="17" t="str">
        <f t="shared" si="5"/>
        <v>NO</v>
      </c>
      <c r="P48" s="20"/>
      <c r="Q48" s="20"/>
    </row>
    <row r="49" ht="15.75" customHeight="1">
      <c r="A49" s="1">
        <v>48.0</v>
      </c>
      <c r="B49" s="12" t="s">
        <v>14</v>
      </c>
      <c r="C49" s="15">
        <v>0.5181712962962963</v>
      </c>
      <c r="D49" s="15">
        <v>0.5185069444444445</v>
      </c>
      <c r="E49" s="15">
        <v>0.5185648148148149</v>
      </c>
      <c r="F49" s="15">
        <v>0.5187731481481481</v>
      </c>
      <c r="G49" s="16">
        <f t="shared" ref="G49:I49" si="50">D49-C49</f>
        <v>0.0003356481481</v>
      </c>
      <c r="H49" s="16">
        <f t="shared" si="50"/>
        <v>0.00005787037037</v>
      </c>
      <c r="I49" s="16">
        <f t="shared" si="50"/>
        <v>0.0002083333333</v>
      </c>
      <c r="J49" s="16">
        <f t="shared" si="3"/>
        <v>0.0006018518519</v>
      </c>
      <c r="N49" s="17" t="str">
        <f t="shared" si="5"/>
        <v>NO</v>
      </c>
      <c r="P49" s="20"/>
      <c r="Q49" s="20"/>
    </row>
    <row r="50" ht="15.75" customHeight="1">
      <c r="A50" s="1">
        <v>49.0</v>
      </c>
      <c r="B50" s="12" t="s">
        <v>14</v>
      </c>
      <c r="C50" s="15">
        <v>0.5190856481481482</v>
      </c>
      <c r="D50" s="15">
        <v>0.5191087962962962</v>
      </c>
      <c r="E50" s="15">
        <v>0.5191550925925926</v>
      </c>
      <c r="F50" s="15">
        <v>0.5193518518518518</v>
      </c>
      <c r="G50" s="16">
        <f t="shared" ref="G50:I50" si="51">D50-C50</f>
        <v>0.00002314814815</v>
      </c>
      <c r="H50" s="16">
        <f t="shared" si="51"/>
        <v>0.0000462962963</v>
      </c>
      <c r="I50" s="16">
        <f t="shared" si="51"/>
        <v>0.0001967592593</v>
      </c>
      <c r="J50" s="16">
        <f t="shared" si="3"/>
        <v>0.0002662037037</v>
      </c>
      <c r="N50" s="17" t="str">
        <f t="shared" si="5"/>
        <v>NO</v>
      </c>
      <c r="P50" s="20"/>
      <c r="Q50" s="20"/>
    </row>
    <row r="51" ht="15.75" customHeight="1">
      <c r="A51" s="1">
        <v>50.0</v>
      </c>
      <c r="B51" s="12" t="s">
        <v>14</v>
      </c>
      <c r="C51" s="15">
        <v>0.5202083333333334</v>
      </c>
      <c r="D51" s="15">
        <v>0.5202662037037037</v>
      </c>
      <c r="E51" s="15">
        <v>0.5203472222222222</v>
      </c>
      <c r="F51" s="15">
        <v>0.5206597222222222</v>
      </c>
      <c r="G51" s="16">
        <f t="shared" ref="G51:I51" si="52">D51-C51</f>
        <v>0.00005787037037</v>
      </c>
      <c r="H51" s="16">
        <f t="shared" si="52"/>
        <v>0.00008101851852</v>
      </c>
      <c r="I51" s="16">
        <f t="shared" si="52"/>
        <v>0.0003125</v>
      </c>
      <c r="J51" s="16">
        <f t="shared" si="3"/>
        <v>0.0004513888889</v>
      </c>
      <c r="P51" s="20"/>
      <c r="Q51" s="20"/>
    </row>
    <row r="52" ht="15.75" customHeight="1">
      <c r="A52" s="1">
        <v>51.0</v>
      </c>
      <c r="B52" s="12" t="s">
        <v>14</v>
      </c>
      <c r="C52" s="15">
        <v>0.5205324074074074</v>
      </c>
      <c r="D52" s="15">
        <v>0.5206828703703704</v>
      </c>
      <c r="E52" s="15">
        <v>0.5207407407407407</v>
      </c>
      <c r="F52" s="15">
        <v>0.5209722222222222</v>
      </c>
      <c r="G52" s="16">
        <f t="shared" ref="G52:I52" si="53">D52-C52</f>
        <v>0.000150462963</v>
      </c>
      <c r="H52" s="16">
        <f t="shared" si="53"/>
        <v>0.00005787037037</v>
      </c>
      <c r="I52" s="16">
        <f t="shared" si="53"/>
        <v>0.0002314814815</v>
      </c>
      <c r="J52" s="16">
        <f t="shared" si="3"/>
        <v>0.0004398148148</v>
      </c>
      <c r="P52" s="20"/>
      <c r="Q52" s="20"/>
    </row>
    <row r="53" ht="15.75" customHeight="1">
      <c r="A53" s="1">
        <v>52.0</v>
      </c>
      <c r="B53" s="12" t="s">
        <v>14</v>
      </c>
      <c r="C53" s="15">
        <v>0.5203703703703704</v>
      </c>
      <c r="D53" s="15">
        <v>0.5208333333333334</v>
      </c>
      <c r="E53" s="15">
        <v>0.5209606481481481</v>
      </c>
      <c r="F53" s="15">
        <v>0.5212847222222222</v>
      </c>
      <c r="G53" s="16">
        <f t="shared" ref="G53:I53" si="54">D53-C53</f>
        <v>0.000462962963</v>
      </c>
      <c r="H53" s="16">
        <f t="shared" si="54"/>
        <v>0.0001273148148</v>
      </c>
      <c r="I53" s="16">
        <f t="shared" si="54"/>
        <v>0.0003240740741</v>
      </c>
      <c r="J53" s="16">
        <f t="shared" si="3"/>
        <v>0.0009143518519</v>
      </c>
      <c r="P53" s="20"/>
      <c r="Q53" s="20"/>
    </row>
    <row r="54" ht="15.75" customHeight="1">
      <c r="A54" s="1">
        <v>53.0</v>
      </c>
      <c r="B54" s="12" t="s">
        <v>14</v>
      </c>
      <c r="C54" s="15">
        <v>0.521099537037037</v>
      </c>
      <c r="D54" s="15">
        <v>0.5213078703703704</v>
      </c>
      <c r="E54" s="15">
        <v>0.5215046296296296</v>
      </c>
      <c r="F54" s="15">
        <v>0.5216087962962963</v>
      </c>
      <c r="G54" s="16">
        <f t="shared" ref="G54:I54" si="55">D54-C54</f>
        <v>0.0002083333333</v>
      </c>
      <c r="H54" s="16">
        <f t="shared" si="55"/>
        <v>0.0001967592593</v>
      </c>
      <c r="I54" s="16">
        <f t="shared" si="55"/>
        <v>0.0001041666667</v>
      </c>
      <c r="J54" s="16">
        <f t="shared" si="3"/>
        <v>0.0005092592593</v>
      </c>
      <c r="P54" s="20"/>
      <c r="Q54" s="20"/>
    </row>
    <row r="55" ht="15.75" customHeight="1">
      <c r="A55" s="1">
        <v>54.0</v>
      </c>
      <c r="B55" s="12" t="s">
        <v>14</v>
      </c>
      <c r="C55" s="15">
        <v>0.5218171296296297</v>
      </c>
      <c r="D55" s="15">
        <v>0.5218402777777778</v>
      </c>
      <c r="E55" s="15">
        <v>0.5219444444444444</v>
      </c>
      <c r="F55" s="15">
        <v>0.5220601851851852</v>
      </c>
      <c r="G55" s="16">
        <f t="shared" ref="G55:I55" si="56">D55-C55</f>
        <v>0.00002314814815</v>
      </c>
      <c r="H55" s="16">
        <f t="shared" si="56"/>
        <v>0.0001041666667</v>
      </c>
      <c r="I55" s="16">
        <f t="shared" si="56"/>
        <v>0.0001157407407</v>
      </c>
      <c r="J55" s="16">
        <f t="shared" si="3"/>
        <v>0.0002430555556</v>
      </c>
      <c r="P55" s="20"/>
      <c r="Q55" s="20"/>
    </row>
    <row r="56" ht="15.75" customHeight="1">
      <c r="A56" s="1">
        <v>55.0</v>
      </c>
      <c r="B56" s="12" t="s">
        <v>14</v>
      </c>
      <c r="C56" s="15">
        <v>0.5222916666666667</v>
      </c>
      <c r="D56" s="15">
        <v>0.5223032407407407</v>
      </c>
      <c r="E56" s="15">
        <v>0.5224537037037037</v>
      </c>
      <c r="F56" s="15">
        <v>0.5224884259259259</v>
      </c>
      <c r="G56" s="16">
        <f t="shared" ref="G56:I56" si="57">D56-C56</f>
        <v>0.00001157407407</v>
      </c>
      <c r="H56" s="16">
        <f t="shared" si="57"/>
        <v>0.000150462963</v>
      </c>
      <c r="I56" s="16">
        <f t="shared" si="57"/>
        <v>0.00003472222222</v>
      </c>
      <c r="J56" s="16">
        <f t="shared" si="3"/>
        <v>0.0001967592593</v>
      </c>
      <c r="P56" s="20"/>
      <c r="Q56" s="20"/>
    </row>
    <row r="57" ht="15.75" customHeight="1">
      <c r="A57" s="1">
        <v>56.0</v>
      </c>
      <c r="B57" s="12" t="s">
        <v>14</v>
      </c>
      <c r="C57" s="15">
        <v>0.5224189814814815</v>
      </c>
      <c r="D57" s="15">
        <v>0.5225115740740741</v>
      </c>
      <c r="E57" s="15">
        <v>0.5225578703703704</v>
      </c>
      <c r="F57" s="15">
        <v>0.5228125</v>
      </c>
      <c r="G57" s="16">
        <f t="shared" ref="G57:I57" si="58">D57-C57</f>
        <v>0.00009259259259</v>
      </c>
      <c r="H57" s="16">
        <f t="shared" si="58"/>
        <v>0.0000462962963</v>
      </c>
      <c r="I57" s="16">
        <f t="shared" si="58"/>
        <v>0.0002546296296</v>
      </c>
      <c r="J57" s="16">
        <f t="shared" si="3"/>
        <v>0.0003935185185</v>
      </c>
      <c r="P57" s="20"/>
      <c r="Q57" s="20"/>
    </row>
    <row r="58" ht="15.75" customHeight="1">
      <c r="A58" s="1">
        <v>57.0</v>
      </c>
      <c r="B58" s="12" t="s">
        <v>14</v>
      </c>
      <c r="C58" s="15">
        <v>0.5250925925925926</v>
      </c>
      <c r="D58" s="15">
        <v>0.5251273148148148</v>
      </c>
      <c r="E58" s="15">
        <v>0.5252893518518519</v>
      </c>
      <c r="F58" s="13">
        <v>0.5253587962962963</v>
      </c>
      <c r="G58" s="16">
        <f t="shared" ref="G58:I58" si="59">D58-C58</f>
        <v>0.00003472222222</v>
      </c>
      <c r="H58" s="16">
        <f t="shared" si="59"/>
        <v>0.000162037037</v>
      </c>
      <c r="I58" s="9">
        <f t="shared" si="59"/>
        <v>0.00006944444444</v>
      </c>
      <c r="J58" s="9">
        <f t="shared" si="3"/>
        <v>0.0002662037037</v>
      </c>
      <c r="P58" s="20"/>
      <c r="Q58" s="20"/>
    </row>
    <row r="59" ht="15.75" customHeight="1">
      <c r="A59" s="1">
        <v>58.0</v>
      </c>
      <c r="B59" s="12" t="s">
        <v>14</v>
      </c>
      <c r="C59" s="15">
        <v>0.5253125</v>
      </c>
      <c r="D59" s="15">
        <v>0.5253587962962963</v>
      </c>
      <c r="E59" s="15">
        <v>0.5254861111111111</v>
      </c>
      <c r="F59" s="15">
        <v>0.5256018518518518</v>
      </c>
      <c r="G59" s="16">
        <f t="shared" ref="G59:I59" si="60">D59-C59</f>
        <v>0.0000462962963</v>
      </c>
      <c r="H59" s="16">
        <f t="shared" si="60"/>
        <v>0.0001273148148</v>
      </c>
      <c r="I59" s="16">
        <f t="shared" si="60"/>
        <v>0.0001157407407</v>
      </c>
      <c r="J59" s="16">
        <f t="shared" si="3"/>
        <v>0.0002893518519</v>
      </c>
      <c r="P59" s="20"/>
      <c r="Q59" s="20"/>
    </row>
    <row r="60" ht="15.75" customHeight="1">
      <c r="A60" s="1">
        <v>59.0</v>
      </c>
      <c r="B60" s="12" t="s">
        <v>14</v>
      </c>
      <c r="C60" s="15">
        <v>0.5257175925925925</v>
      </c>
      <c r="D60" s="15">
        <v>0.5257407407407407</v>
      </c>
      <c r="E60" s="15">
        <v>0.5260648148148148</v>
      </c>
      <c r="F60" s="15">
        <v>0.5263541666666667</v>
      </c>
      <c r="G60" s="16">
        <f t="shared" ref="G60:I60" si="61">D60-C60</f>
        <v>0.00002314814815</v>
      </c>
      <c r="H60" s="16">
        <f t="shared" si="61"/>
        <v>0.0003240740741</v>
      </c>
      <c r="I60" s="16">
        <f t="shared" si="61"/>
        <v>0.0002893518519</v>
      </c>
      <c r="J60" s="16">
        <f t="shared" si="3"/>
        <v>0.0006365740741</v>
      </c>
      <c r="P60" s="20"/>
      <c r="Q60" s="20"/>
    </row>
    <row r="61" ht="15.75" customHeight="1">
      <c r="A61" s="1">
        <v>60.0</v>
      </c>
      <c r="B61" s="12" t="s">
        <v>14</v>
      </c>
      <c r="C61" s="15">
        <v>0.5268634259259259</v>
      </c>
      <c r="D61" s="15">
        <v>0.5269097222222222</v>
      </c>
      <c r="E61" s="15">
        <v>0.5270486111111111</v>
      </c>
      <c r="F61" s="15">
        <v>0.527349537037037</v>
      </c>
      <c r="G61" s="16">
        <f t="shared" ref="G61:I61" si="62">D61-C61</f>
        <v>0.0000462962963</v>
      </c>
      <c r="H61" s="16">
        <f t="shared" si="62"/>
        <v>0.0001388888889</v>
      </c>
      <c r="I61" s="16">
        <f t="shared" si="62"/>
        <v>0.0003009259259</v>
      </c>
      <c r="J61" s="16">
        <f t="shared" si="3"/>
        <v>0.0004861111111</v>
      </c>
      <c r="P61" s="20"/>
      <c r="Q61" s="20"/>
    </row>
    <row r="62" ht="15.75" customHeight="1">
      <c r="A62" s="12">
        <v>61.0</v>
      </c>
    </row>
    <row r="63" ht="15.75" customHeight="1">
      <c r="A63" s="12">
        <v>62.0</v>
      </c>
    </row>
    <row r="64" ht="15.75" customHeight="1">
      <c r="A64" s="12">
        <v>63.0</v>
      </c>
    </row>
    <row r="65" ht="15.75" customHeight="1">
      <c r="A65" s="12">
        <v>64.0</v>
      </c>
    </row>
    <row r="66" ht="15.75" customHeight="1">
      <c r="A66" s="12">
        <v>65.0</v>
      </c>
    </row>
    <row r="67" ht="15.75" customHeight="1">
      <c r="A67" s="12">
        <v>66.0</v>
      </c>
    </row>
    <row r="68" ht="15.75" customHeight="1">
      <c r="A68" s="12">
        <v>67.0</v>
      </c>
    </row>
    <row r="69" ht="15.75" customHeight="1">
      <c r="A69" s="12">
        <v>68.0</v>
      </c>
    </row>
    <row r="70" ht="15.75" customHeight="1">
      <c r="A70" s="12">
        <v>69.0</v>
      </c>
    </row>
    <row r="71" ht="15.75" customHeight="1">
      <c r="A71" s="12">
        <v>70.0</v>
      </c>
    </row>
    <row r="72" ht="15.75" customHeight="1">
      <c r="A72" s="12">
        <v>71.0</v>
      </c>
    </row>
    <row r="73" ht="15.75" customHeight="1">
      <c r="A73" s="12">
        <v>72.0</v>
      </c>
    </row>
    <row r="74" ht="15.75" customHeight="1">
      <c r="A74" s="12">
        <v>73.0</v>
      </c>
    </row>
    <row r="75" ht="15.75" customHeight="1">
      <c r="A75" s="12">
        <v>74.0</v>
      </c>
    </row>
    <row r="76" ht="15.75" customHeight="1">
      <c r="A76" s="12">
        <v>75.0</v>
      </c>
    </row>
    <row r="77" ht="15.75" customHeight="1">
      <c r="A77" s="12">
        <v>76.0</v>
      </c>
    </row>
    <row r="78" ht="15.75" customHeight="1">
      <c r="A78" s="12">
        <v>77.0</v>
      </c>
    </row>
    <row r="79" ht="15.75" customHeight="1">
      <c r="A79" s="12">
        <v>78.0</v>
      </c>
    </row>
    <row r="80" ht="15.75" customHeight="1">
      <c r="A80" s="12">
        <v>79.0</v>
      </c>
    </row>
    <row r="81" ht="15.75" customHeight="1">
      <c r="A81" s="12">
        <v>80.0</v>
      </c>
    </row>
    <row r="82" ht="15.75" customHeight="1">
      <c r="A82" s="12">
        <v>81.0</v>
      </c>
    </row>
    <row r="83" ht="15.75" customHeight="1">
      <c r="A83" s="12">
        <v>82.0</v>
      </c>
    </row>
    <row r="84" ht="15.75" customHeight="1">
      <c r="A84" s="12">
        <v>83.0</v>
      </c>
    </row>
    <row r="85" ht="15.75" customHeight="1">
      <c r="A85" s="12">
        <v>84.0</v>
      </c>
    </row>
    <row r="86" ht="15.75" customHeight="1">
      <c r="A86" s="12">
        <v>85.0</v>
      </c>
    </row>
    <row r="87" ht="15.75" customHeight="1">
      <c r="A87" s="12">
        <v>86.0</v>
      </c>
    </row>
    <row r="88" ht="15.75" customHeight="1">
      <c r="A88" s="12">
        <v>87.0</v>
      </c>
    </row>
    <row r="89" ht="15.75" customHeight="1">
      <c r="A89" s="12">
        <v>88.0</v>
      </c>
    </row>
    <row r="90" ht="15.75" customHeight="1">
      <c r="A90" s="12">
        <v>89.0</v>
      </c>
    </row>
    <row r="91" ht="15.75" customHeight="1">
      <c r="A91" s="12">
        <v>90.0</v>
      </c>
    </row>
    <row r="92" ht="15.75" customHeight="1">
      <c r="A92" s="12">
        <v>91.0</v>
      </c>
    </row>
    <row r="93" ht="15.75" customHeight="1">
      <c r="A93" s="12">
        <v>92.0</v>
      </c>
    </row>
    <row r="94" ht="15.75" customHeight="1">
      <c r="A94" s="12">
        <v>93.0</v>
      </c>
    </row>
    <row r="95" ht="15.75" customHeight="1">
      <c r="A95" s="12">
        <v>94.0</v>
      </c>
    </row>
    <row r="96" ht="15.75" customHeight="1">
      <c r="A96" s="12">
        <v>95.0</v>
      </c>
    </row>
    <row r="97" ht="15.75" customHeight="1">
      <c r="A97" s="12">
        <v>96.0</v>
      </c>
    </row>
    <row r="98" ht="15.75" customHeight="1">
      <c r="A98" s="12">
        <v>97.0</v>
      </c>
    </row>
    <row r="99" ht="15.75" customHeight="1">
      <c r="A99" s="12">
        <v>98.0</v>
      </c>
    </row>
    <row r="100" ht="15.75" customHeight="1">
      <c r="A100" s="12">
        <v>99.0</v>
      </c>
    </row>
    <row r="101" ht="15.75" customHeight="1">
      <c r="A101" s="12">
        <v>100.0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